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nie\Desktop\"/>
    </mc:Choice>
  </mc:AlternateContent>
  <xr:revisionPtr revIDLastSave="0" documentId="8_{071B28A7-7307-4659-90D3-A495736ABC90}" xr6:coauthVersionLast="47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Data" sheetId="1" r:id="rId1"/>
    <sheet name="Planilha2" sheetId="2" state="hidden" r:id="rId2"/>
  </sheets>
  <definedNames>
    <definedName name="aporte">Data!$D$11</definedName>
    <definedName name="patrimonio">Data!$D$14</definedName>
    <definedName name="qtd_anos">Data!$D$12</definedName>
    <definedName name="rendimento_carteira">Data!$D$7</definedName>
    <definedName name="salario">Data!$D$6</definedName>
    <definedName name="sugestao_investimento">Data!$D$8</definedName>
    <definedName name="taxa_mensal">Data!$D$13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C30" i="1"/>
  <c r="A4" i="2"/>
  <c r="D8" i="1"/>
  <c r="C31" i="1"/>
  <c r="C32" i="1"/>
  <c r="C33" i="1"/>
  <c r="C34" i="1"/>
  <c r="C35" i="1"/>
  <c r="A9" i="2"/>
  <c r="A10" i="2"/>
  <c r="A11" i="2"/>
  <c r="A12" i="2"/>
  <c r="A13" i="2"/>
  <c r="A14" i="2"/>
  <c r="A15" i="2"/>
  <c r="A16" i="2"/>
  <c r="A17" i="2"/>
  <c r="A18" i="2"/>
  <c r="A19" i="2"/>
  <c r="A20" i="2"/>
  <c r="A5" i="2"/>
  <c r="A6" i="2"/>
  <c r="A7" i="2"/>
  <c r="A8" i="2"/>
  <c r="A3" i="2"/>
  <c r="C27" i="1"/>
  <c r="D14" i="1"/>
  <c r="D15" i="1" s="1"/>
  <c r="C21" i="1"/>
  <c r="D21" i="1" s="1"/>
  <c r="C20" i="1"/>
  <c r="D20" i="1" s="1"/>
  <c r="C19" i="1"/>
  <c r="D19" i="1" s="1"/>
  <c r="C22" i="1"/>
  <c r="D22" i="1" s="1"/>
  <c r="C18" i="1"/>
  <c r="D18" i="1" s="1"/>
  <c r="D30" i="1" l="1"/>
  <c r="D35" i="1"/>
  <c r="D33" i="1"/>
  <c r="D32" i="1"/>
  <c r="D34" i="1"/>
  <c r="D31" i="1"/>
  <c r="D36" i="1" l="1"/>
</calcChain>
</file>

<file path=xl/sharedStrings.xml><?xml version="1.0" encoding="utf-8"?>
<sst xmlns="http://schemas.openxmlformats.org/spreadsheetml/2006/main" count="72" uniqueCount="35">
  <si>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</si>
  <si>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</si>
  <si>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</si>
  <si>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</si>
  <si>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</si>
  <si>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</si>
  <si>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</si>
  <si>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</si>
  <si>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</si>
  <si>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</si>
  <si>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</si>
  <si>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</si>
  <si>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</si>
  <si>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</si>
  <si>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</si>
  <si>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</si>
  <si>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</si>
  <si>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</si>
  <si>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</si>
  <si>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</si>
  <si>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</si>
  <si>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</si>
  <si>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</si>
  <si>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</si>
  <si>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</si>
  <si>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</si>
  <si>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</si>
  <si>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</si>
  <si>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</si>
  <si>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</si>
  <si>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</si>
  <si>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</si>
  <si>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</si>
  <si>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</si>
  <si>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>Investment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</si>
</sst>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i/>
      <u/>
      <sz val="3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5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13" fillId="8" borderId="1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13" fillId="8" borderId="0" xfId="0" applyFont="1" applyFill="1" applyBorder="1" applyAlignment="1">
      <alignment horizontal="center"/>
    </xf>
    <xf numFmtId="0" fontId="13" fillId="8" borderId="24" xfId="0" applyFont="1" applyFill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Data!$C$29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87-4517-B481-96C45B80C41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87-4517-B481-96C45B80C41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87-4517-B481-96C45B80C41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B87-4517-B481-96C45B80C41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B87-4517-B481-96C45B80C41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B87-4517-B481-96C45B80C4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Data!$C$30:$C$35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36</xdr:row>
      <xdr:rowOff>97971</xdr:rowOff>
    </xdr:from>
    <xdr:to>
      <xdr:col>3</xdr:col>
      <xdr:colOff>892175</xdr:colOff>
      <xdr:row>49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:H36"/>
  <sheetViews>
    <sheetView showGridLines="0" tabSelected="1" topLeftCell="A7" zoomScale="110" zoomScaleNormal="110" workbookViewId="0">
      <selection activeCell="H6" sqref="H6"/>
    </sheetView>
  </sheetViews>
  <sheetFormatPr defaultColWidth="0" defaultRowHeight="14.4" x14ac:dyDescent="0.3"/>
  <cols>
    <col min="1" max="1" width="5.44140625" customWidth="1"/>
    <col min="2" max="2" width="46.77734375" customWidth="1"/>
    <col min="3" max="3" width="17.44140625" bestFit="1" customWidth="1"/>
    <col min="4" max="4" width="15" customWidth="1"/>
    <col min="5" max="8" width="3.5546875" customWidth="1"/>
    <col min="9" max="16384" width="8.77734375" hidden="1"/>
  </cols>
  <sheetData>
    <row r="1" spans="1:6" x14ac:dyDescent="0.3">
      <c r="A1" s="56" t="s">
        <v>34</v>
      </c>
      <c r="B1" s="57"/>
      <c r="C1" s="57"/>
      <c r="D1" s="57"/>
      <c r="E1" s="57"/>
      <c r="F1" s="58"/>
    </row>
    <row r="2" spans="1:6" x14ac:dyDescent="0.3">
      <c r="A2" s="59"/>
      <c r="B2" s="60"/>
      <c r="C2" s="60"/>
      <c r="D2" s="60"/>
      <c r="E2" s="60"/>
      <c r="F2" s="61"/>
    </row>
    <row r="3" spans="1:6" ht="15" thickBot="1" x14ac:dyDescent="0.35">
      <c r="A3" s="62"/>
      <c r="B3" s="63"/>
      <c r="C3" s="63"/>
      <c r="D3" s="63"/>
      <c r="E3" s="63"/>
      <c r="F3" s="64"/>
    </row>
    <row r="4" spans="1:6" ht="15" thickBot="1" x14ac:dyDescent="0.35"/>
    <row r="5" spans="1:6" ht="27" x14ac:dyDescent="0.4">
      <c r="B5" s="5" t="s">
        <v>15</v>
      </c>
      <c r="C5" s="6"/>
      <c r="D5" s="7"/>
    </row>
    <row r="6" spans="1:6" ht="19.2" x14ac:dyDescent="0.45">
      <c r="B6" s="43" t="s">
        <v>14</v>
      </c>
      <c r="C6" s="44"/>
      <c r="D6" s="23">
        <v>2000</v>
      </c>
    </row>
    <row r="7" spans="1:6" ht="19.2" x14ac:dyDescent="0.45">
      <c r="B7" s="45" t="s">
        <v>13</v>
      </c>
      <c r="C7" s="46"/>
      <c r="D7" s="24">
        <v>6.0000000000000001E-3</v>
      </c>
    </row>
    <row r="8" spans="1:6" ht="19.8" thickBot="1" x14ac:dyDescent="0.5">
      <c r="B8" s="52" t="s">
        <v>33</v>
      </c>
      <c r="C8" s="53"/>
      <c r="D8" s="25">
        <f>D6*30%</f>
        <v>600</v>
      </c>
    </row>
    <row r="9" spans="1:6" ht="15" thickBot="1" x14ac:dyDescent="0.35"/>
    <row r="10" spans="1:6" ht="28.5" customHeight="1" x14ac:dyDescent="0.3">
      <c r="B10" s="49" t="s">
        <v>5</v>
      </c>
      <c r="C10" s="50"/>
      <c r="D10" s="51"/>
    </row>
    <row r="11" spans="1:6" ht="19.2" x14ac:dyDescent="0.45">
      <c r="B11" s="43" t="s">
        <v>0</v>
      </c>
      <c r="C11" s="44"/>
      <c r="D11" s="18">
        <v>200</v>
      </c>
    </row>
    <row r="12" spans="1:6" ht="19.2" x14ac:dyDescent="0.45">
      <c r="B12" s="45" t="s">
        <v>1</v>
      </c>
      <c r="C12" s="46"/>
      <c r="D12" s="19">
        <v>5</v>
      </c>
    </row>
    <row r="13" spans="1:6" ht="19.2" x14ac:dyDescent="0.45">
      <c r="B13" s="45" t="s">
        <v>2</v>
      </c>
      <c r="C13" s="46"/>
      <c r="D13" s="20">
        <v>1.0789999999999999E-2</v>
      </c>
    </row>
    <row r="14" spans="1:6" ht="19.2" x14ac:dyDescent="0.45">
      <c r="B14" s="54" t="s">
        <v>3</v>
      </c>
      <c r="C14" s="55"/>
      <c r="D14" s="21">
        <f>FV(taxa_mensal,qtd_anos*12,aporte*-1)</f>
        <v>16755.382799697527</v>
      </c>
    </row>
    <row r="15" spans="1:6" ht="19.8" thickBot="1" x14ac:dyDescent="0.5">
      <c r="B15" s="47" t="s">
        <v>4</v>
      </c>
      <c r="C15" s="48"/>
      <c r="D15" s="22">
        <f>patrimonio*rendimento_carteira</f>
        <v>100.53229679818516</v>
      </c>
      <c r="F15" s="3"/>
    </row>
    <row r="16" spans="1:6" ht="15" thickBot="1" x14ac:dyDescent="0.35"/>
    <row r="17" spans="1:4" ht="29.4" x14ac:dyDescent="0.3">
      <c r="B17" s="49" t="s">
        <v>11</v>
      </c>
      <c r="C17" s="50"/>
      <c r="D17" s="8" t="s">
        <v>12</v>
      </c>
    </row>
    <row r="18" spans="1:4" ht="19.2" x14ac:dyDescent="0.45">
      <c r="A18" s="1">
        <v>2</v>
      </c>
      <c r="B18" s="9" t="s">
        <v>6</v>
      </c>
      <c r="C18" s="10">
        <f>FV($D$13,$A18*12,$D$11*-1)</f>
        <v>5445.5254595290435</v>
      </c>
      <c r="D18" s="11">
        <f>C18*rendimento_carteira</f>
        <v>32.673152757174265</v>
      </c>
    </row>
    <row r="19" spans="1:4" ht="19.2" x14ac:dyDescent="0.45">
      <c r="A19" s="1">
        <v>5</v>
      </c>
      <c r="B19" s="12" t="s">
        <v>7</v>
      </c>
      <c r="C19" s="13">
        <f>FV($D$13,$A19*12,$D$11*-1)</f>
        <v>16755.382799697527</v>
      </c>
      <c r="D19" s="14">
        <f>C19*rendimento_carteira</f>
        <v>100.53229679818516</v>
      </c>
    </row>
    <row r="20" spans="1:4" ht="19.2" x14ac:dyDescent="0.45">
      <c r="A20" s="1">
        <v>10</v>
      </c>
      <c r="B20" s="12" t="s">
        <v>8</v>
      </c>
      <c r="C20" s="13">
        <f>FV($D$13,$A20*12,$D$11*-1)</f>
        <v>48656.842506034438</v>
      </c>
      <c r="D20" s="14">
        <f>C20*rendimento_carteira</f>
        <v>291.94105503620665</v>
      </c>
    </row>
    <row r="21" spans="1:4" ht="19.2" x14ac:dyDescent="0.45">
      <c r="A21" s="1">
        <v>20</v>
      </c>
      <c r="B21" s="12" t="s">
        <v>9</v>
      </c>
      <c r="C21" s="13">
        <f>FV($D$13,$A21*12,$D$11*-1)</f>
        <v>225039.68001941612</v>
      </c>
      <c r="D21" s="14">
        <f>C21*rendimento_carteira</f>
        <v>1350.2380801164968</v>
      </c>
    </row>
    <row r="22" spans="1:4" ht="19.8" thickBot="1" x14ac:dyDescent="0.5">
      <c r="A22" s="1">
        <v>30</v>
      </c>
      <c r="B22" s="15" t="s">
        <v>10</v>
      </c>
      <c r="C22" s="16">
        <f>FV($D$13,$A22*12,$D$11*-1)</f>
        <v>864433.93100094295</v>
      </c>
      <c r="D22" s="17">
        <f>C22*rendimento_carteira</f>
        <v>5186.6035860056581</v>
      </c>
    </row>
    <row r="26" spans="1:4" x14ac:dyDescent="0.3">
      <c r="B26" s="26" t="s">
        <v>20</v>
      </c>
      <c r="C26" s="27" t="s">
        <v>18</v>
      </c>
      <c r="D26" s="26"/>
    </row>
    <row r="27" spans="1:4" x14ac:dyDescent="0.3">
      <c r="B27" s="28" t="s">
        <v>19</v>
      </c>
      <c r="C27" s="29">
        <f>aporte</f>
        <v>200</v>
      </c>
      <c r="D27" s="28"/>
    </row>
    <row r="29" spans="1:4" x14ac:dyDescent="0.3">
      <c r="B29" s="30" t="s">
        <v>21</v>
      </c>
      <c r="C29" s="30" t="s">
        <v>22</v>
      </c>
      <c r="D29" s="30" t="s">
        <v>23</v>
      </c>
    </row>
    <row r="30" spans="1:4" x14ac:dyDescent="0.3">
      <c r="B30" s="2" t="s">
        <v>24</v>
      </c>
      <c r="C30" s="4">
        <f>VLOOKUP($C$26&amp;"-"&amp;B30,Planilha2!$A:$D,4,FALSE)</f>
        <v>0.5</v>
      </c>
      <c r="D30" s="33">
        <f>C30*$C$27</f>
        <v>100</v>
      </c>
    </row>
    <row r="31" spans="1:4" x14ac:dyDescent="0.3">
      <c r="B31" s="2" t="s">
        <v>25</v>
      </c>
      <c r="C31" s="4">
        <f>VLOOKUP($C$26&amp;"-"&amp;B31,Planilha2!$A:$D,4,FALSE)</f>
        <v>0.1</v>
      </c>
      <c r="D31" s="33">
        <f t="shared" ref="D31:D35" si="0">C31*$C$27</f>
        <v>20</v>
      </c>
    </row>
    <row r="32" spans="1:4" x14ac:dyDescent="0.3">
      <c r="B32" s="2" t="s">
        <v>26</v>
      </c>
      <c r="C32" s="4">
        <f>VLOOKUP($C$26&amp;"-"&amp;B32,Planilha2!$A:$D,4,FALSE)</f>
        <v>0.05</v>
      </c>
      <c r="D32" s="33">
        <f t="shared" si="0"/>
        <v>10</v>
      </c>
    </row>
    <row r="33" spans="2:4" x14ac:dyDescent="0.3">
      <c r="B33" s="2" t="s">
        <v>27</v>
      </c>
      <c r="C33" s="4">
        <f>VLOOKUP($C$26&amp;"-"&amp;B33,Planilha2!$A:$D,4,FALSE)</f>
        <v>0.05</v>
      </c>
      <c r="D33" s="33">
        <f t="shared" si="0"/>
        <v>10</v>
      </c>
    </row>
    <row r="34" spans="2:4" x14ac:dyDescent="0.3">
      <c r="B34" s="2" t="s">
        <v>28</v>
      </c>
      <c r="C34" s="4">
        <f>VLOOKUP($C$26&amp;"-"&amp;B34,Planilha2!$A:$D,4,FALSE)</f>
        <v>0.2</v>
      </c>
      <c r="D34" s="33">
        <f t="shared" si="0"/>
        <v>40</v>
      </c>
    </row>
    <row r="35" spans="2:4" x14ac:dyDescent="0.3">
      <c r="B35" s="2" t="s">
        <v>29</v>
      </c>
      <c r="C35" s="4">
        <f>VLOOKUP($C$26&amp;"-"&amp;B35,Planilha2!$A:$D,4,FALSE)</f>
        <v>0.1</v>
      </c>
      <c r="D35" s="33">
        <f t="shared" si="0"/>
        <v>20</v>
      </c>
    </row>
    <row r="36" spans="2:4" x14ac:dyDescent="0.3">
      <c r="B36" s="31"/>
      <c r="C36" s="31"/>
      <c r="D36" s="32">
        <f>SUM(D30:D35)</f>
        <v>200</v>
      </c>
    </row>
  </sheetData>
  <mergeCells count="11">
    <mergeCell ref="A1:F3"/>
    <mergeCell ref="B6:C6"/>
    <mergeCell ref="B7:C7"/>
    <mergeCell ref="B8:C8"/>
    <mergeCell ref="B14:C14"/>
    <mergeCell ref="B17:C17"/>
    <mergeCell ref="B11:C11"/>
    <mergeCell ref="B12:C12"/>
    <mergeCell ref="B13:C13"/>
    <mergeCell ref="B15:C15"/>
    <mergeCell ref="B10:D10"/>
  </mergeCells>
  <dataValidations count="1">
    <dataValidation type="list" allowBlank="1" showInputMessage="1" showErrorMessage="1" sqref="C26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A25" sqref="A25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3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3">
      <c r="A4" t="str">
        <f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3">
      <c r="A5" t="str">
        <f t="shared" ref="A4:A20" si="0">B5&amp;"-"&amp;C5</f>
        <v>Conservador-HÍBRIDOS</v>
      </c>
      <c r="B5" t="s">
        <v>16</v>
      </c>
      <c r="C5" s="2" t="s">
        <v>26</v>
      </c>
      <c r="D5" s="4">
        <v>0.1</v>
      </c>
    </row>
    <row r="6" spans="1:8" x14ac:dyDescent="0.3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3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" thickBot="1" x14ac:dyDescent="0.35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3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3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3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3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3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" thickBot="1" x14ac:dyDescent="0.35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3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3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3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3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3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3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Data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Raniere Pereira De Paula</cp:lastModifiedBy>
  <dcterms:created xsi:type="dcterms:W3CDTF">2025-04-16T18:38:03Z</dcterms:created>
  <dcterms:modified xsi:type="dcterms:W3CDTF">2026-09-14T18:10:32Z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